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Weekly Model" sheetId="2" state="visible" r:id="rId2"/>
    <sheet name="Budget" sheetId="3" state="visible" r:id="rId3"/>
    <sheet name="Scenarios &amp; Le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s &quot;#,##0"/>
    <numFmt numFmtId="165" formatCode="0.0%"/>
    <numFmt numFmtId="166" formatCode="0.0"/>
  </numFmts>
  <fonts count="1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1F3864"/>
      <sz val="11"/>
    </font>
    <font>
      <name val="Arial"/>
      <sz val="10"/>
    </font>
    <font>
      <name val="Arial"/>
      <color rgb="000000FF"/>
      <sz val="10"/>
    </font>
    <font>
      <name val="Arial"/>
      <i val="1"/>
      <color rgb="00595959"/>
      <sz val="8"/>
    </font>
    <font>
      <name val="Arial"/>
      <b val="1"/>
      <sz val="10"/>
    </font>
    <font>
      <name val="Arial"/>
      <i val="1"/>
      <sz val="8"/>
    </font>
    <font>
      <name val="Arial"/>
      <b val="1"/>
      <color rgb="00FFFFFF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color rgb="00C00000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vertical="top" wrapText="1"/>
    </xf>
    <xf numFmtId="9" fontId="5" fillId="2" borderId="0" pivotButton="0" quotePrefix="0" xfId="0"/>
    <xf numFmtId="164" fontId="4" fillId="0" borderId="0" pivotButton="0" quotePrefix="0" xfId="0"/>
    <xf numFmtId="9" fontId="5" fillId="0" borderId="0" pivotButton="0" quotePrefix="0" xfId="0"/>
    <xf numFmtId="3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3" fontId="5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165" fontId="4" fillId="0" borderId="1" pivotButton="0" quotePrefix="0" xfId="0"/>
    <xf numFmtId="3" fontId="7" fillId="0" borderId="0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3" borderId="1" pivotButton="0" quotePrefix="0" xfId="0"/>
    <xf numFmtId="0" fontId="6" fillId="0" borderId="1" pivotButton="0" quotePrefix="0" xfId="0"/>
    <xf numFmtId="165" fontId="7" fillId="0" borderId="0" pivotButton="0" quotePrefix="0" xfId="0"/>
    <xf numFmtId="0" fontId="8" fillId="0" borderId="0" pivotButton="0" quotePrefix="0" xfId="0"/>
    <xf numFmtId="0" fontId="7" fillId="0" borderId="1" pivotButton="0" quotePrefix="0" xfId="0"/>
    <xf numFmtId="166" fontId="5" fillId="0" borderId="1" pivotButton="0" quotePrefix="0" xfId="0"/>
    <xf numFmtId="3" fontId="4" fillId="0" borderId="1" pivotButton="0" quotePrefix="0" xfId="0"/>
    <xf numFmtId="9" fontId="4" fillId="0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" customWidth="1" min="3" max="3"/>
    <col width="72" customWidth="1" min="4" max="4"/>
  </cols>
  <sheetData>
    <row r="1">
      <c r="A1" s="1" t="inlineStr">
        <is>
          <t>ParentProof - Revenue Model to Rs 1 Crore (26 weeks, Delhi NCR)</t>
        </is>
      </c>
    </row>
    <row r="2">
      <c r="A2" s="2" t="inlineStr">
        <is>
          <t>Edit BLUE cells only. Yellow = key levers. Every number cites its basis in column D.</t>
        </is>
      </c>
    </row>
    <row r="4">
      <c r="A4" s="3" t="inlineStr">
        <is>
          <t>PRICING</t>
        </is>
      </c>
    </row>
    <row r="5">
      <c r="A5" s="4" t="inlineStr">
        <is>
          <t>Core plan (6 months)</t>
        </is>
      </c>
      <c r="B5" s="5" t="n">
        <v>999</v>
      </c>
      <c r="D5" s="6" t="inlineStr">
        <is>
          <t>Your live in-app price</t>
        </is>
      </c>
    </row>
    <row r="6">
      <c r="A6" s="4" t="inlineStr">
        <is>
          <t>Annual plan</t>
        </is>
      </c>
      <c r="B6" s="5" t="n">
        <v>1799</v>
      </c>
      <c r="D6" s="6" t="inlineStr">
        <is>
          <t>Your live in-app price</t>
        </is>
      </c>
    </row>
    <row r="7">
      <c r="A7" s="4" t="inlineStr">
        <is>
          <t>Plan mix - share choosing Core</t>
        </is>
      </c>
      <c r="B7" s="7" t="n">
        <v>0.8</v>
      </c>
      <c r="D7" s="6" t="inlineStr">
        <is>
          <t>Assumption: 6-mo commitment is the default choice at this price point; tune from real data monthly</t>
        </is>
      </c>
    </row>
    <row r="8">
      <c r="A8" s="4" t="inlineStr">
        <is>
          <t>Blended D2C ARPU</t>
        </is>
      </c>
      <c r="B8" s="8">
        <f>B5*B7+B6*(1-B7)</f>
        <v/>
      </c>
      <c r="D8" s="6" t="inlineStr">
        <is>
          <t>Mix-weighted price: Rs 1,159 at an 80/20 Core/Annual split</t>
        </is>
      </c>
    </row>
    <row r="9">
      <c r="A9" s="4" t="inlineStr">
        <is>
          <t>B2B2C price per child (to you)</t>
        </is>
      </c>
      <c r="B9" s="5" t="n">
        <v>749</v>
      </c>
      <c r="D9" s="6" t="inlineStr">
        <is>
          <t>Bulk price via tuition/school partner; partner keeps ~Rs200-250 margin on Rs999 MRP</t>
        </is>
      </c>
    </row>
    <row r="11">
      <c r="A11" s="3" t="inlineStr">
        <is>
          <t>FUNNEL</t>
        </is>
      </c>
    </row>
    <row r="12">
      <c r="A12" s="4" t="inlineStr">
        <is>
          <t>Install -&gt; first test (activation)</t>
        </is>
      </c>
      <c r="B12" s="7" t="n">
        <v>0.6</v>
      </c>
      <c r="D12" s="6" t="inlineStr">
        <is>
          <t>Assumption from pilot; product is 20-min first value. Measure weekly, this is lever #1</t>
        </is>
      </c>
    </row>
    <row r="13">
      <c r="A13" s="4" t="inlineStr">
        <is>
          <t>Activation -&gt; paid (early, W1-5)</t>
        </is>
      </c>
      <c r="B13" s="9" t="n">
        <v>0.08</v>
      </c>
      <c r="D13" s="6" t="inlineStr">
        <is>
          <t>Utility apps with exam anchor; starts low pre-proof</t>
        </is>
      </c>
    </row>
    <row r="14">
      <c r="A14" s="4" t="inlineStr">
        <is>
          <t>Activation -&gt; paid (peak, W22-26)</t>
        </is>
      </c>
      <c r="B14" s="9" t="n">
        <v>0.14</v>
      </c>
      <c r="D14" s="6" t="inlineStr">
        <is>
          <t>Pre-board panic season + accuracy receipts as proof; ramps in weekly sheet col F</t>
        </is>
      </c>
    </row>
    <row r="15">
      <c r="A15" s="4" t="inlineStr">
        <is>
          <t>Share of D2C payers from PAID ads</t>
        </is>
      </c>
      <c r="B15" s="7" t="n">
        <v>0.45</v>
      </c>
      <c r="D15" s="6" t="inlineStr">
        <is>
          <t>Rest = referral, ground events, school opt-ins, partners, organic. WhatsApp-native product keeps this under half</t>
        </is>
      </c>
    </row>
    <row r="16">
      <c r="A16" s="4" t="inlineStr">
        <is>
          <t>Paid CAC per payer (early)</t>
        </is>
      </c>
      <c r="B16" s="5" t="n">
        <v>650</v>
      </c>
      <c r="D16" s="6" t="inlineStr">
        <is>
          <t>CPI Rs40-120 benchmark (vmobify India 2026) x funnel math; conservative end</t>
        </is>
      </c>
    </row>
    <row r="17">
      <c r="A17" s="4" t="inlineStr">
        <is>
          <t>Paid CAC per payer (late)</t>
        </is>
      </c>
      <c r="B17" s="5" t="n">
        <v>450</v>
      </c>
      <c r="D17" s="6" t="inlineStr">
        <is>
          <t>Improves with proof assets + seasonal intent; ramps in weekly sheet col H</t>
        </is>
      </c>
    </row>
    <row r="19">
      <c r="A19" s="3" t="inlineStr">
        <is>
          <t>GOAL CHECK</t>
        </is>
      </c>
    </row>
    <row r="20">
      <c r="A20" s="4" t="inlineStr">
        <is>
          <t>D2C payers (26-wk total)</t>
        </is>
      </c>
      <c r="B20" s="10" t="n">
        <v>7195</v>
      </c>
      <c r="D20" s="6" t="inlineStr">
        <is>
          <t>Sum of weekly targets (Weekly Model col E)</t>
        </is>
      </c>
    </row>
    <row r="21">
      <c r="A21" s="4" t="inlineStr">
        <is>
          <t>B2B2C children (26-wk total)</t>
        </is>
      </c>
      <c r="B21" s="10" t="n">
        <v>2840</v>
      </c>
      <c r="D21" s="6" t="inlineStr">
        <is>
          <t>Via 16+ tuition/school partners by Jan</t>
        </is>
      </c>
    </row>
    <row r="22">
      <c r="A22" s="4" t="inlineStr">
        <is>
          <t>D2C revenue</t>
        </is>
      </c>
      <c r="B22" s="8">
        <f>B20*B8</f>
        <v/>
      </c>
      <c r="D22" s="6" t="inlineStr">
        <is>
          <t>payers x blended ARPU</t>
        </is>
      </c>
    </row>
    <row r="23">
      <c r="A23" s="4" t="inlineStr">
        <is>
          <t>B2B2C revenue</t>
        </is>
      </c>
      <c r="B23" s="8">
        <f>B21*B9</f>
        <v/>
      </c>
      <c r="D23" s="6" t="inlineStr">
        <is>
          <t>children x per-child price</t>
        </is>
      </c>
    </row>
    <row r="24">
      <c r="A24" s="11" t="inlineStr">
        <is>
          <t>TOTAL REVENUE</t>
        </is>
      </c>
      <c r="B24" s="8">
        <f>B22+B23</f>
        <v/>
      </c>
      <c r="D24" s="6" t="inlineStr">
        <is>
          <t>Target: &gt;= Rs 1,00,00,000</t>
        </is>
      </c>
    </row>
    <row r="25">
      <c r="A25" s="4" t="inlineStr">
        <is>
          <t>Goal</t>
        </is>
      </c>
      <c r="B25" s="5" t="n">
        <v>10000000</v>
      </c>
      <c r="D25" s="6" t="inlineStr">
        <is>
          <t>Rs 1 crore</t>
        </is>
      </c>
    </row>
    <row r="26">
      <c r="A26" s="11" t="inlineStr">
        <is>
          <t>Surplus / (gap)</t>
        </is>
      </c>
      <c r="B26" s="8">
        <f>B24-B25</f>
        <v/>
      </c>
      <c r="D26" s="6" t="inlineStr">
        <is>
          <t>Plan carries ~Rs 4.7L buffer</t>
        </is>
      </c>
    </row>
    <row r="28">
      <c r="A28" s="11" t="inlineStr">
        <is>
          <t>Sources</t>
        </is>
      </c>
    </row>
    <row r="29">
      <c r="A29" s="12" t="inlineStr">
        <is>
          <t>CPI benchmark: vmobify.com/blog/app-install-cost-india (EdTech K-12 India CPI Rs40-120, 2026). Exam dates: CBSE 2027 boards ~14 Feb-27 Mar (careers360/motion.ac.in). Festivals: Dussehra 20 Oct, Diwali 8 Nov 2026 (drikpanchang). All conversion rates are the author's assumptions - replace with your pilot data after Week 5.</t>
        </is>
      </c>
    </row>
    <row r="30"/>
    <row r="31"/>
  </sheetData>
  <mergeCells count="1">
    <mergeCell ref="A29:D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  <col width="14" customWidth="1" min="14" max="14"/>
    <col width="9" customWidth="1" min="15" max="15"/>
  </cols>
  <sheetData>
    <row r="1">
      <c r="A1" s="13" t="inlineStr">
        <is>
          <t>Week</t>
        </is>
      </c>
      <c r="B1" s="13" t="inlineStr">
        <is>
          <t>Dates</t>
        </is>
      </c>
      <c r="C1" s="13" t="inlineStr">
        <is>
          <t>Phase</t>
        </is>
      </c>
      <c r="D1" s="13" t="inlineStr">
        <is>
          <t>D2C Payers</t>
        </is>
      </c>
      <c r="E1" s="13" t="inlineStr">
        <is>
          <t>B2B Children</t>
        </is>
      </c>
      <c r="F1" s="13" t="inlineStr">
        <is>
          <t>Activ-&gt;Paid %</t>
        </is>
      </c>
      <c r="G1" s="13" t="inlineStr">
        <is>
          <t>Installs Needed</t>
        </is>
      </c>
      <c r="H1" s="13" t="inlineStr">
        <is>
          <t>Paid CAC (Rs)</t>
        </is>
      </c>
      <c r="I1" s="13" t="inlineStr">
        <is>
          <t>Ad Spend (Rs)</t>
        </is>
      </c>
      <c r="J1" s="13" t="inlineStr">
        <is>
          <t>Other Mktg (Rs)</t>
        </is>
      </c>
      <c r="K1" s="13" t="inlineStr">
        <is>
          <t>D2C Revenue (Rs)</t>
        </is>
      </c>
      <c r="L1" s="13" t="inlineStr">
        <is>
          <t>B2B Revenue (Rs)</t>
        </is>
      </c>
      <c r="M1" s="13" t="inlineStr">
        <is>
          <t>Total Revenue (Rs)</t>
        </is>
      </c>
      <c r="N1" s="13" t="inlineStr">
        <is>
          <t>Cumulative (Rs)</t>
        </is>
      </c>
      <c r="O1" s="13" t="inlineStr">
        <is>
          <t>% of Rs1Cr</t>
        </is>
      </c>
    </row>
    <row r="2">
      <c r="A2" s="14" t="n">
        <v>1</v>
      </c>
      <c r="B2" s="14" t="inlineStr">
        <is>
          <t>28 Jul - 03 Aug</t>
        </is>
      </c>
      <c r="C2" s="14" t="inlineStr">
        <is>
          <t>P0</t>
        </is>
      </c>
      <c r="D2" s="15" t="n">
        <v>0</v>
      </c>
      <c r="E2" s="15" t="n">
        <v>0</v>
      </c>
      <c r="F2" s="16" t="n">
        <v>0.08</v>
      </c>
      <c r="G2" s="14">
        <f>IF(F2=0,0,ROUND(D2/(Assumptions!$B$12*F2),0))</f>
        <v/>
      </c>
      <c r="H2" s="17" t="n">
        <v>650</v>
      </c>
      <c r="I2" s="18">
        <f>ROUND(D2*Assumptions!$B$15*H2,0)</f>
        <v/>
      </c>
      <c r="J2" s="19" t="n">
        <v>3000</v>
      </c>
      <c r="K2" s="18">
        <f>D2*Assumptions!$B$8</f>
        <v/>
      </c>
      <c r="L2" s="18">
        <f>E2*Assumptions!$B$9</f>
        <v/>
      </c>
      <c r="M2" s="18">
        <f>K2+L2</f>
        <v/>
      </c>
      <c r="N2" s="18">
        <f>M2</f>
        <v/>
      </c>
      <c r="O2" s="20">
        <f>N2/Assumptions!$B$25</f>
        <v/>
      </c>
    </row>
    <row r="3">
      <c r="A3" s="14" t="n">
        <v>2</v>
      </c>
      <c r="B3" s="14" t="inlineStr">
        <is>
          <t>04 Aug - 10 Aug</t>
        </is>
      </c>
      <c r="C3" s="14" t="inlineStr">
        <is>
          <t>P0</t>
        </is>
      </c>
      <c r="D3" s="15" t="n">
        <v>5</v>
      </c>
      <c r="E3" s="15" t="n">
        <v>0</v>
      </c>
      <c r="F3" s="16" t="n">
        <v>0.08</v>
      </c>
      <c r="G3" s="14">
        <f>IF(F3=0,0,ROUND(D3/(Assumptions!$B$12*F3),0))</f>
        <v/>
      </c>
      <c r="H3" s="17" t="n">
        <v>650</v>
      </c>
      <c r="I3" s="18">
        <f>ROUND(D3*Assumptions!$B$15*H3,0)</f>
        <v/>
      </c>
      <c r="J3" s="19" t="n">
        <v>4000</v>
      </c>
      <c r="K3" s="18">
        <f>D3*Assumptions!$B$8</f>
        <v/>
      </c>
      <c r="L3" s="18">
        <f>E3*Assumptions!$B$9</f>
        <v/>
      </c>
      <c r="M3" s="18">
        <f>K3+L3</f>
        <v/>
      </c>
      <c r="N3" s="18">
        <f>N2+M3</f>
        <v/>
      </c>
      <c r="O3" s="20">
        <f>N3/Assumptions!$B$25</f>
        <v/>
      </c>
    </row>
    <row r="4">
      <c r="A4" s="14" t="n">
        <v>3</v>
      </c>
      <c r="B4" s="14" t="inlineStr">
        <is>
          <t>11 Aug - 17 Aug</t>
        </is>
      </c>
      <c r="C4" s="14" t="inlineStr">
        <is>
          <t>P1</t>
        </is>
      </c>
      <c r="D4" s="15" t="n">
        <v>15</v>
      </c>
      <c r="E4" s="15" t="n">
        <v>0</v>
      </c>
      <c r="F4" s="16" t="n">
        <v>0.08</v>
      </c>
      <c r="G4" s="14">
        <f>IF(F4=0,0,ROUND(D4/(Assumptions!$B$12*F4),0))</f>
        <v/>
      </c>
      <c r="H4" s="17" t="n">
        <v>650</v>
      </c>
      <c r="I4" s="18">
        <f>ROUND(D4*Assumptions!$B$15*H4,0)</f>
        <v/>
      </c>
      <c r="J4" s="19" t="n">
        <v>6000</v>
      </c>
      <c r="K4" s="18">
        <f>D4*Assumptions!$B$8</f>
        <v/>
      </c>
      <c r="L4" s="18">
        <f>E4*Assumptions!$B$9</f>
        <v/>
      </c>
      <c r="M4" s="18">
        <f>K4+L4</f>
        <v/>
      </c>
      <c r="N4" s="18">
        <f>N3+M4</f>
        <v/>
      </c>
      <c r="O4" s="20">
        <f>N4/Assumptions!$B$25</f>
        <v/>
      </c>
    </row>
    <row r="5">
      <c r="A5" s="14" t="n">
        <v>4</v>
      </c>
      <c r="B5" s="14" t="inlineStr">
        <is>
          <t>18 Aug - 24 Aug</t>
        </is>
      </c>
      <c r="C5" s="14" t="inlineStr">
        <is>
          <t>P1</t>
        </is>
      </c>
      <c r="D5" s="15" t="n">
        <v>25</v>
      </c>
      <c r="E5" s="15" t="n">
        <v>0</v>
      </c>
      <c r="F5" s="16" t="n">
        <v>0.08</v>
      </c>
      <c r="G5" s="14">
        <f>IF(F5=0,0,ROUND(D5/(Assumptions!$B$12*F5),0))</f>
        <v/>
      </c>
      <c r="H5" s="17" t="n">
        <v>650</v>
      </c>
      <c r="I5" s="18">
        <f>ROUND(D5*Assumptions!$B$15*H5,0)</f>
        <v/>
      </c>
      <c r="J5" s="19" t="n">
        <v>8000</v>
      </c>
      <c r="K5" s="18">
        <f>D5*Assumptions!$B$8</f>
        <v/>
      </c>
      <c r="L5" s="18">
        <f>E5*Assumptions!$B$9</f>
        <v/>
      </c>
      <c r="M5" s="18">
        <f>K5+L5</f>
        <v/>
      </c>
      <c r="N5" s="18">
        <f>N4+M5</f>
        <v/>
      </c>
      <c r="O5" s="20">
        <f>N5/Assumptions!$B$25</f>
        <v/>
      </c>
    </row>
    <row r="6">
      <c r="A6" s="14" t="n">
        <v>5</v>
      </c>
      <c r="B6" s="14" t="inlineStr">
        <is>
          <t>25 Aug - 31 Aug</t>
        </is>
      </c>
      <c r="C6" s="14" t="inlineStr">
        <is>
          <t>P1</t>
        </is>
      </c>
      <c r="D6" s="15" t="n">
        <v>40</v>
      </c>
      <c r="E6" s="15" t="n">
        <v>0</v>
      </c>
      <c r="F6" s="16" t="n">
        <v>0.08</v>
      </c>
      <c r="G6" s="14">
        <f>IF(F6=0,0,ROUND(D6/(Assumptions!$B$12*F6),0))</f>
        <v/>
      </c>
      <c r="H6" s="17" t="n">
        <v>650</v>
      </c>
      <c r="I6" s="18">
        <f>ROUND(D6*Assumptions!$B$15*H6,0)</f>
        <v/>
      </c>
      <c r="J6" s="19" t="n">
        <v>8000</v>
      </c>
      <c r="K6" s="18">
        <f>D6*Assumptions!$B$8</f>
        <v/>
      </c>
      <c r="L6" s="18">
        <f>E6*Assumptions!$B$9</f>
        <v/>
      </c>
      <c r="M6" s="18">
        <f>K6+L6</f>
        <v/>
      </c>
      <c r="N6" s="18">
        <f>N5+M6</f>
        <v/>
      </c>
      <c r="O6" s="20">
        <f>N6/Assumptions!$B$25</f>
        <v/>
      </c>
    </row>
    <row r="7">
      <c r="A7" s="14" t="n">
        <v>6</v>
      </c>
      <c r="B7" s="14" t="inlineStr">
        <is>
          <t>01 Sep - 07 Sep</t>
        </is>
      </c>
      <c r="C7" s="14" t="inlineStr">
        <is>
          <t>P2</t>
        </is>
      </c>
      <c r="D7" s="15" t="n">
        <v>60</v>
      </c>
      <c r="E7" s="15" t="n">
        <v>40</v>
      </c>
      <c r="F7" s="16" t="n">
        <v>0.09</v>
      </c>
      <c r="G7" s="14">
        <f>IF(F7=0,0,ROUND(D7/(Assumptions!$B$12*F7),0))</f>
        <v/>
      </c>
      <c r="H7" s="17" t="n">
        <v>600</v>
      </c>
      <c r="I7" s="18">
        <f>ROUND(D7*Assumptions!$B$15*H7,0)</f>
        <v/>
      </c>
      <c r="J7" s="19" t="n">
        <v>9000</v>
      </c>
      <c r="K7" s="18">
        <f>D7*Assumptions!$B$8</f>
        <v/>
      </c>
      <c r="L7" s="18">
        <f>E7*Assumptions!$B$9</f>
        <v/>
      </c>
      <c r="M7" s="18">
        <f>K7+L7</f>
        <v/>
      </c>
      <c r="N7" s="18">
        <f>N6+M7</f>
        <v/>
      </c>
      <c r="O7" s="20">
        <f>N7/Assumptions!$B$25</f>
        <v/>
      </c>
    </row>
    <row r="8">
      <c r="A8" s="14" t="n">
        <v>7</v>
      </c>
      <c r="B8" s="14" t="inlineStr">
        <is>
          <t>08 Sep - 14 Sep</t>
        </is>
      </c>
      <c r="C8" s="14" t="inlineStr">
        <is>
          <t>P2</t>
        </is>
      </c>
      <c r="D8" s="15" t="n">
        <v>80</v>
      </c>
      <c r="E8" s="15" t="n">
        <v>40</v>
      </c>
      <c r="F8" s="16" t="n">
        <v>0.09</v>
      </c>
      <c r="G8" s="14">
        <f>IF(F8=0,0,ROUND(D8/(Assumptions!$B$12*F8),0))</f>
        <v/>
      </c>
      <c r="H8" s="17" t="n">
        <v>600</v>
      </c>
      <c r="I8" s="18">
        <f>ROUND(D8*Assumptions!$B$15*H8,0)</f>
        <v/>
      </c>
      <c r="J8" s="19" t="n">
        <v>12000</v>
      </c>
      <c r="K8" s="18">
        <f>D8*Assumptions!$B$8</f>
        <v/>
      </c>
      <c r="L8" s="18">
        <f>E8*Assumptions!$B$9</f>
        <v/>
      </c>
      <c r="M8" s="18">
        <f>K8+L8</f>
        <v/>
      </c>
      <c r="N8" s="18">
        <f>N7+M8</f>
        <v/>
      </c>
      <c r="O8" s="20">
        <f>N8/Assumptions!$B$25</f>
        <v/>
      </c>
    </row>
    <row r="9">
      <c r="A9" s="14" t="n">
        <v>8</v>
      </c>
      <c r="B9" s="14" t="inlineStr">
        <is>
          <t>15 Sep - 21 Sep</t>
        </is>
      </c>
      <c r="C9" s="14" t="inlineStr">
        <is>
          <t>P2</t>
        </is>
      </c>
      <c r="D9" s="15" t="n">
        <v>100</v>
      </c>
      <c r="E9" s="15" t="n">
        <v>60</v>
      </c>
      <c r="F9" s="16" t="n">
        <v>0.09</v>
      </c>
      <c r="G9" s="14">
        <f>IF(F9=0,0,ROUND(D9/(Assumptions!$B$12*F9),0))</f>
        <v/>
      </c>
      <c r="H9" s="17" t="n">
        <v>600</v>
      </c>
      <c r="I9" s="18">
        <f>ROUND(D9*Assumptions!$B$15*H9,0)</f>
        <v/>
      </c>
      <c r="J9" s="19" t="n">
        <v>12000</v>
      </c>
      <c r="K9" s="18">
        <f>D9*Assumptions!$B$8</f>
        <v/>
      </c>
      <c r="L9" s="18">
        <f>E9*Assumptions!$B$9</f>
        <v/>
      </c>
      <c r="M9" s="18">
        <f>K9+L9</f>
        <v/>
      </c>
      <c r="N9" s="18">
        <f>N8+M9</f>
        <v/>
      </c>
      <c r="O9" s="20">
        <f>N9/Assumptions!$B$25</f>
        <v/>
      </c>
    </row>
    <row r="10">
      <c r="A10" s="14" t="n">
        <v>9</v>
      </c>
      <c r="B10" s="14" t="inlineStr">
        <is>
          <t>22 Sep - 28 Sep</t>
        </is>
      </c>
      <c r="C10" s="14" t="inlineStr">
        <is>
          <t>P2</t>
        </is>
      </c>
      <c r="D10" s="15" t="n">
        <v>130</v>
      </c>
      <c r="E10" s="15" t="n">
        <v>60</v>
      </c>
      <c r="F10" s="16" t="n">
        <v>0.09</v>
      </c>
      <c r="G10" s="14">
        <f>IF(F10=0,0,ROUND(D10/(Assumptions!$B$12*F10),0))</f>
        <v/>
      </c>
      <c r="H10" s="17" t="n">
        <v>600</v>
      </c>
      <c r="I10" s="18">
        <f>ROUND(D10*Assumptions!$B$15*H10,0)</f>
        <v/>
      </c>
      <c r="J10" s="19" t="n">
        <v>14000</v>
      </c>
      <c r="K10" s="18">
        <f>D10*Assumptions!$B$8</f>
        <v/>
      </c>
      <c r="L10" s="18">
        <f>E10*Assumptions!$B$9</f>
        <v/>
      </c>
      <c r="M10" s="18">
        <f>K10+L10</f>
        <v/>
      </c>
      <c r="N10" s="18">
        <f>N9+M10</f>
        <v/>
      </c>
      <c r="O10" s="20">
        <f>N10/Assumptions!$B$25</f>
        <v/>
      </c>
    </row>
    <row r="11">
      <c r="A11" s="14" t="n">
        <v>10</v>
      </c>
      <c r="B11" s="14" t="inlineStr">
        <is>
          <t>29 Sep - 05 Oct</t>
        </is>
      </c>
      <c r="C11" s="14" t="inlineStr">
        <is>
          <t>P3</t>
        </is>
      </c>
      <c r="D11" s="15" t="n">
        <v>160</v>
      </c>
      <c r="E11" s="15" t="n">
        <v>80</v>
      </c>
      <c r="F11" s="16" t="n">
        <v>0.1</v>
      </c>
      <c r="G11" s="14">
        <f>IF(F11=0,0,ROUND(D11/(Assumptions!$B$12*F11),0))</f>
        <v/>
      </c>
      <c r="H11" s="17" t="n">
        <v>550</v>
      </c>
      <c r="I11" s="18">
        <f>ROUND(D11*Assumptions!$B$15*H11,0)</f>
        <v/>
      </c>
      <c r="J11" s="19" t="n">
        <v>12000</v>
      </c>
      <c r="K11" s="18">
        <f>D11*Assumptions!$B$8</f>
        <v/>
      </c>
      <c r="L11" s="18">
        <f>E11*Assumptions!$B$9</f>
        <v/>
      </c>
      <c r="M11" s="18">
        <f>K11+L11</f>
        <v/>
      </c>
      <c r="N11" s="18">
        <f>N10+M11</f>
        <v/>
      </c>
      <c r="O11" s="20">
        <f>N11/Assumptions!$B$25</f>
        <v/>
      </c>
    </row>
    <row r="12">
      <c r="A12" s="14" t="n">
        <v>11</v>
      </c>
      <c r="B12" s="14" t="inlineStr">
        <is>
          <t>06 Oct - 12 Oct</t>
        </is>
      </c>
      <c r="C12" s="14" t="inlineStr">
        <is>
          <t>P3</t>
        </is>
      </c>
      <c r="D12" s="15" t="n">
        <v>190</v>
      </c>
      <c r="E12" s="15" t="n">
        <v>80</v>
      </c>
      <c r="F12" s="16" t="n">
        <v>0.1</v>
      </c>
      <c r="G12" s="14">
        <f>IF(F12=0,0,ROUND(D12/(Assumptions!$B$12*F12),0))</f>
        <v/>
      </c>
      <c r="H12" s="17" t="n">
        <v>550</v>
      </c>
      <c r="I12" s="18">
        <f>ROUND(D12*Assumptions!$B$15*H12,0)</f>
        <v/>
      </c>
      <c r="J12" s="19" t="n">
        <v>14000</v>
      </c>
      <c r="K12" s="18">
        <f>D12*Assumptions!$B$8</f>
        <v/>
      </c>
      <c r="L12" s="18">
        <f>E12*Assumptions!$B$9</f>
        <v/>
      </c>
      <c r="M12" s="18">
        <f>K12+L12</f>
        <v/>
      </c>
      <c r="N12" s="18">
        <f>N11+M12</f>
        <v/>
      </c>
      <c r="O12" s="20">
        <f>N12/Assumptions!$B$25</f>
        <v/>
      </c>
    </row>
    <row r="13">
      <c r="A13" s="14" t="n">
        <v>12</v>
      </c>
      <c r="B13" s="14" t="inlineStr">
        <is>
          <t>13 Oct - 19 Oct</t>
        </is>
      </c>
      <c r="C13" s="14" t="inlineStr">
        <is>
          <t>P3</t>
        </is>
      </c>
      <c r="D13" s="15" t="n">
        <v>220</v>
      </c>
      <c r="E13" s="15" t="n">
        <v>100</v>
      </c>
      <c r="F13" s="16" t="n">
        <v>0.1</v>
      </c>
      <c r="G13" s="14">
        <f>IF(F13=0,0,ROUND(D13/(Assumptions!$B$12*F13),0))</f>
        <v/>
      </c>
      <c r="H13" s="17" t="n">
        <v>550</v>
      </c>
      <c r="I13" s="18">
        <f>ROUND(D13*Assumptions!$B$15*H13,0)</f>
        <v/>
      </c>
      <c r="J13" s="19" t="n">
        <v>16000</v>
      </c>
      <c r="K13" s="18">
        <f>D13*Assumptions!$B$8</f>
        <v/>
      </c>
      <c r="L13" s="18">
        <f>E13*Assumptions!$B$9</f>
        <v/>
      </c>
      <c r="M13" s="18">
        <f>K13+L13</f>
        <v/>
      </c>
      <c r="N13" s="18">
        <f>N12+M13</f>
        <v/>
      </c>
      <c r="O13" s="20">
        <f>N13/Assumptions!$B$25</f>
        <v/>
      </c>
    </row>
    <row r="14">
      <c r="A14" s="14" t="n">
        <v>13</v>
      </c>
      <c r="B14" s="14" t="inlineStr">
        <is>
          <t>20 Oct - 26 Oct</t>
        </is>
      </c>
      <c r="C14" s="14" t="inlineStr">
        <is>
          <t>P3</t>
        </is>
      </c>
      <c r="D14" s="15" t="n">
        <v>250</v>
      </c>
      <c r="E14" s="15" t="n">
        <v>100</v>
      </c>
      <c r="F14" s="16" t="n">
        <v>0.1</v>
      </c>
      <c r="G14" s="14">
        <f>IF(F14=0,0,ROUND(D14/(Assumptions!$B$12*F14),0))</f>
        <v/>
      </c>
      <c r="H14" s="17" t="n">
        <v>550</v>
      </c>
      <c r="I14" s="18">
        <f>ROUND(D14*Assumptions!$B$15*H14,0)</f>
        <v/>
      </c>
      <c r="J14" s="19" t="n">
        <v>16000</v>
      </c>
      <c r="K14" s="18">
        <f>D14*Assumptions!$B$8</f>
        <v/>
      </c>
      <c r="L14" s="18">
        <f>E14*Assumptions!$B$9</f>
        <v/>
      </c>
      <c r="M14" s="18">
        <f>K14+L14</f>
        <v/>
      </c>
      <c r="N14" s="18">
        <f>N13+M14</f>
        <v/>
      </c>
      <c r="O14" s="20">
        <f>N14/Assumptions!$B$25</f>
        <v/>
      </c>
    </row>
    <row r="15">
      <c r="A15" s="14" t="n">
        <v>14</v>
      </c>
      <c r="B15" s="14" t="inlineStr">
        <is>
          <t>27 Oct - 02 Nov</t>
        </is>
      </c>
      <c r="C15" s="14" t="inlineStr">
        <is>
          <t>P4</t>
        </is>
      </c>
      <c r="D15" s="15" t="n">
        <v>280</v>
      </c>
      <c r="E15" s="15" t="n">
        <v>120</v>
      </c>
      <c r="F15" s="16" t="n">
        <v>0.11</v>
      </c>
      <c r="G15" s="14">
        <f>IF(F15=0,0,ROUND(D15/(Assumptions!$B$12*F15),0))</f>
        <v/>
      </c>
      <c r="H15" s="17" t="n">
        <v>500</v>
      </c>
      <c r="I15" s="18">
        <f>ROUND(D15*Assumptions!$B$15*H15,0)</f>
        <v/>
      </c>
      <c r="J15" s="19" t="n">
        <v>18000</v>
      </c>
      <c r="K15" s="18">
        <f>D15*Assumptions!$B$8</f>
        <v/>
      </c>
      <c r="L15" s="18">
        <f>E15*Assumptions!$B$9</f>
        <v/>
      </c>
      <c r="M15" s="18">
        <f>K15+L15</f>
        <v/>
      </c>
      <c r="N15" s="18">
        <f>N14+M15</f>
        <v/>
      </c>
      <c r="O15" s="20">
        <f>N15/Assumptions!$B$25</f>
        <v/>
      </c>
    </row>
    <row r="16">
      <c r="A16" s="14" t="n">
        <v>15</v>
      </c>
      <c r="B16" s="14" t="inlineStr">
        <is>
          <t>03 Nov - 09 Nov</t>
        </is>
      </c>
      <c r="C16" s="14" t="inlineStr">
        <is>
          <t>P4</t>
        </is>
      </c>
      <c r="D16" s="15" t="n">
        <v>300</v>
      </c>
      <c r="E16" s="15" t="n">
        <v>120</v>
      </c>
      <c r="F16" s="16" t="n">
        <v>0.11</v>
      </c>
      <c r="G16" s="14">
        <f>IF(F16=0,0,ROUND(D16/(Assumptions!$B$12*F16),0))</f>
        <v/>
      </c>
      <c r="H16" s="17" t="n">
        <v>500</v>
      </c>
      <c r="I16" s="18">
        <f>ROUND(D16*Assumptions!$B$15*H16,0)</f>
        <v/>
      </c>
      <c r="J16" s="19" t="n">
        <v>22000</v>
      </c>
      <c r="K16" s="18">
        <f>D16*Assumptions!$B$8</f>
        <v/>
      </c>
      <c r="L16" s="18">
        <f>E16*Assumptions!$B$9</f>
        <v/>
      </c>
      <c r="M16" s="18">
        <f>K16+L16</f>
        <v/>
      </c>
      <c r="N16" s="18">
        <f>N15+M16</f>
        <v/>
      </c>
      <c r="O16" s="20">
        <f>N16/Assumptions!$B$25</f>
        <v/>
      </c>
    </row>
    <row r="17">
      <c r="A17" s="14" t="n">
        <v>16</v>
      </c>
      <c r="B17" s="14" t="inlineStr">
        <is>
          <t>10 Nov - 16 Nov</t>
        </is>
      </c>
      <c r="C17" s="14" t="inlineStr">
        <is>
          <t>P4</t>
        </is>
      </c>
      <c r="D17" s="15" t="n">
        <v>320</v>
      </c>
      <c r="E17" s="15" t="n">
        <v>140</v>
      </c>
      <c r="F17" s="16" t="n">
        <v>0.11</v>
      </c>
      <c r="G17" s="14">
        <f>IF(F17=0,0,ROUND(D17/(Assumptions!$B$12*F17),0))</f>
        <v/>
      </c>
      <c r="H17" s="17" t="n">
        <v>500</v>
      </c>
      <c r="I17" s="18">
        <f>ROUND(D17*Assumptions!$B$15*H17,0)</f>
        <v/>
      </c>
      <c r="J17" s="19" t="n">
        <v>14000</v>
      </c>
      <c r="K17" s="18">
        <f>D17*Assumptions!$B$8</f>
        <v/>
      </c>
      <c r="L17" s="18">
        <f>E17*Assumptions!$B$9</f>
        <v/>
      </c>
      <c r="M17" s="18">
        <f>K17+L17</f>
        <v/>
      </c>
      <c r="N17" s="18">
        <f>N16+M17</f>
        <v/>
      </c>
      <c r="O17" s="20">
        <f>N17/Assumptions!$B$25</f>
        <v/>
      </c>
    </row>
    <row r="18">
      <c r="A18" s="14" t="n">
        <v>17</v>
      </c>
      <c r="B18" s="14" t="inlineStr">
        <is>
          <t>17 Nov - 23 Nov</t>
        </is>
      </c>
      <c r="C18" s="14" t="inlineStr">
        <is>
          <t>P4</t>
        </is>
      </c>
      <c r="D18" s="15" t="n">
        <v>340</v>
      </c>
      <c r="E18" s="15" t="n">
        <v>140</v>
      </c>
      <c r="F18" s="16" t="n">
        <v>0.11</v>
      </c>
      <c r="G18" s="14">
        <f>IF(F18=0,0,ROUND(D18/(Assumptions!$B$12*F18),0))</f>
        <v/>
      </c>
      <c r="H18" s="17" t="n">
        <v>500</v>
      </c>
      <c r="I18" s="18">
        <f>ROUND(D18*Assumptions!$B$15*H18,0)</f>
        <v/>
      </c>
      <c r="J18" s="19" t="n">
        <v>14000</v>
      </c>
      <c r="K18" s="18">
        <f>D18*Assumptions!$B$8</f>
        <v/>
      </c>
      <c r="L18" s="18">
        <f>E18*Assumptions!$B$9</f>
        <v/>
      </c>
      <c r="M18" s="18">
        <f>K18+L18</f>
        <v/>
      </c>
      <c r="N18" s="18">
        <f>N17+M18</f>
        <v/>
      </c>
      <c r="O18" s="20">
        <f>N18/Assumptions!$B$25</f>
        <v/>
      </c>
    </row>
    <row r="19">
      <c r="A19" s="14" t="n">
        <v>18</v>
      </c>
      <c r="B19" s="14" t="inlineStr">
        <is>
          <t>24 Nov - 30 Nov</t>
        </is>
      </c>
      <c r="C19" s="14" t="inlineStr">
        <is>
          <t>P5</t>
        </is>
      </c>
      <c r="D19" s="15" t="n">
        <v>360</v>
      </c>
      <c r="E19" s="15" t="n">
        <v>160</v>
      </c>
      <c r="F19" s="16" t="n">
        <v>0.12</v>
      </c>
      <c r="G19" s="14">
        <f>IF(F19=0,0,ROUND(D19/(Assumptions!$B$12*F19),0))</f>
        <v/>
      </c>
      <c r="H19" s="17" t="n">
        <v>480</v>
      </c>
      <c r="I19" s="18">
        <f>ROUND(D19*Assumptions!$B$15*H19,0)</f>
        <v/>
      </c>
      <c r="J19" s="19" t="n">
        <v>16000</v>
      </c>
      <c r="K19" s="18">
        <f>D19*Assumptions!$B$8</f>
        <v/>
      </c>
      <c r="L19" s="18">
        <f>E19*Assumptions!$B$9</f>
        <v/>
      </c>
      <c r="M19" s="18">
        <f>K19+L19</f>
        <v/>
      </c>
      <c r="N19" s="18">
        <f>N18+M19</f>
        <v/>
      </c>
      <c r="O19" s="20">
        <f>N19/Assumptions!$B$25</f>
        <v/>
      </c>
    </row>
    <row r="20">
      <c r="A20" s="14" t="n">
        <v>19</v>
      </c>
      <c r="B20" s="14" t="inlineStr">
        <is>
          <t>01 Dec - 07 Dec</t>
        </is>
      </c>
      <c r="C20" s="14" t="inlineStr">
        <is>
          <t>P5</t>
        </is>
      </c>
      <c r="D20" s="15" t="n">
        <v>400</v>
      </c>
      <c r="E20" s="15" t="n">
        <v>160</v>
      </c>
      <c r="F20" s="16" t="n">
        <v>0.12</v>
      </c>
      <c r="G20" s="14">
        <f>IF(F20=0,0,ROUND(D20/(Assumptions!$B$12*F20),0))</f>
        <v/>
      </c>
      <c r="H20" s="17" t="n">
        <v>480</v>
      </c>
      <c r="I20" s="18">
        <f>ROUND(D20*Assumptions!$B$15*H20,0)</f>
        <v/>
      </c>
      <c r="J20" s="19" t="n">
        <v>16000</v>
      </c>
      <c r="K20" s="18">
        <f>D20*Assumptions!$B$8</f>
        <v/>
      </c>
      <c r="L20" s="18">
        <f>E20*Assumptions!$B$9</f>
        <v/>
      </c>
      <c r="M20" s="18">
        <f>K20+L20</f>
        <v/>
      </c>
      <c r="N20" s="18">
        <f>N19+M20</f>
        <v/>
      </c>
      <c r="O20" s="20">
        <f>N20/Assumptions!$B$25</f>
        <v/>
      </c>
    </row>
    <row r="21">
      <c r="A21" s="14" t="n">
        <v>20</v>
      </c>
      <c r="B21" s="14" t="inlineStr">
        <is>
          <t>08 Dec - 14 Dec</t>
        </is>
      </c>
      <c r="C21" s="14" t="inlineStr">
        <is>
          <t>P5</t>
        </is>
      </c>
      <c r="D21" s="15" t="n">
        <v>440</v>
      </c>
      <c r="E21" s="15" t="n">
        <v>180</v>
      </c>
      <c r="F21" s="16" t="n">
        <v>0.12</v>
      </c>
      <c r="G21" s="14">
        <f>IF(F21=0,0,ROUND(D21/(Assumptions!$B$12*F21),0))</f>
        <v/>
      </c>
      <c r="H21" s="17" t="n">
        <v>480</v>
      </c>
      <c r="I21" s="18">
        <f>ROUND(D21*Assumptions!$B$15*H21,0)</f>
        <v/>
      </c>
      <c r="J21" s="19" t="n">
        <v>16000</v>
      </c>
      <c r="K21" s="18">
        <f>D21*Assumptions!$B$8</f>
        <v/>
      </c>
      <c r="L21" s="18">
        <f>E21*Assumptions!$B$9</f>
        <v/>
      </c>
      <c r="M21" s="18">
        <f>K21+L21</f>
        <v/>
      </c>
      <c r="N21" s="18">
        <f>N20+M21</f>
        <v/>
      </c>
      <c r="O21" s="20">
        <f>N21/Assumptions!$B$25</f>
        <v/>
      </c>
    </row>
    <row r="22">
      <c r="A22" s="14" t="n">
        <v>21</v>
      </c>
      <c r="B22" s="14" t="inlineStr">
        <is>
          <t>15 Dec - 21 Dec</t>
        </is>
      </c>
      <c r="C22" s="14" t="inlineStr">
        <is>
          <t>P5</t>
        </is>
      </c>
      <c r="D22" s="15" t="n">
        <v>480</v>
      </c>
      <c r="E22" s="15" t="n">
        <v>180</v>
      </c>
      <c r="F22" s="16" t="n">
        <v>0.12</v>
      </c>
      <c r="G22" s="14">
        <f>IF(F22=0,0,ROUND(D22/(Assumptions!$B$12*F22),0))</f>
        <v/>
      </c>
      <c r="H22" s="17" t="n">
        <v>480</v>
      </c>
      <c r="I22" s="18">
        <f>ROUND(D22*Assumptions!$B$15*H22,0)</f>
        <v/>
      </c>
      <c r="J22" s="19" t="n">
        <v>16000</v>
      </c>
      <c r="K22" s="18">
        <f>D22*Assumptions!$B$8</f>
        <v/>
      </c>
      <c r="L22" s="18">
        <f>E22*Assumptions!$B$9</f>
        <v/>
      </c>
      <c r="M22" s="18">
        <f>K22+L22</f>
        <v/>
      </c>
      <c r="N22" s="18">
        <f>N21+M22</f>
        <v/>
      </c>
      <c r="O22" s="20">
        <f>N22/Assumptions!$B$25</f>
        <v/>
      </c>
    </row>
    <row r="23">
      <c r="A23" s="14" t="n">
        <v>22</v>
      </c>
      <c r="B23" s="14" t="inlineStr">
        <is>
          <t>22 Dec - 28 Dec</t>
        </is>
      </c>
      <c r="C23" s="14" t="inlineStr">
        <is>
          <t>P6</t>
        </is>
      </c>
      <c r="D23" s="15" t="n">
        <v>520</v>
      </c>
      <c r="E23" s="15" t="n">
        <v>200</v>
      </c>
      <c r="F23" s="16" t="n">
        <v>0.14</v>
      </c>
      <c r="G23" s="14">
        <f>IF(F23=0,0,ROUND(D23/(Assumptions!$B$12*F23),0))</f>
        <v/>
      </c>
      <c r="H23" s="17" t="n">
        <v>450</v>
      </c>
      <c r="I23" s="18">
        <f>ROUND(D23*Assumptions!$B$15*H23,0)</f>
        <v/>
      </c>
      <c r="J23" s="19" t="n">
        <v>14000</v>
      </c>
      <c r="K23" s="18">
        <f>D23*Assumptions!$B$8</f>
        <v/>
      </c>
      <c r="L23" s="18">
        <f>E23*Assumptions!$B$9</f>
        <v/>
      </c>
      <c r="M23" s="18">
        <f>K23+L23</f>
        <v/>
      </c>
      <c r="N23" s="18">
        <f>N22+M23</f>
        <v/>
      </c>
      <c r="O23" s="20">
        <f>N23/Assumptions!$B$25</f>
        <v/>
      </c>
    </row>
    <row r="24">
      <c r="A24" s="14" t="n">
        <v>23</v>
      </c>
      <c r="B24" s="14" t="inlineStr">
        <is>
          <t>29 Dec - 04 Jan</t>
        </is>
      </c>
      <c r="C24" s="14" t="inlineStr">
        <is>
          <t>P6</t>
        </is>
      </c>
      <c r="D24" s="15" t="n">
        <v>560</v>
      </c>
      <c r="E24" s="15" t="n">
        <v>200</v>
      </c>
      <c r="F24" s="16" t="n">
        <v>0.14</v>
      </c>
      <c r="G24" s="14">
        <f>IF(F24=0,0,ROUND(D24/(Assumptions!$B$12*F24),0))</f>
        <v/>
      </c>
      <c r="H24" s="17" t="n">
        <v>450</v>
      </c>
      <c r="I24" s="18">
        <f>ROUND(D24*Assumptions!$B$15*H24,0)</f>
        <v/>
      </c>
      <c r="J24" s="19" t="n">
        <v>16000</v>
      </c>
      <c r="K24" s="18">
        <f>D24*Assumptions!$B$8</f>
        <v/>
      </c>
      <c r="L24" s="18">
        <f>E24*Assumptions!$B$9</f>
        <v/>
      </c>
      <c r="M24" s="18">
        <f>K24+L24</f>
        <v/>
      </c>
      <c r="N24" s="18">
        <f>N23+M24</f>
        <v/>
      </c>
      <c r="O24" s="20">
        <f>N24/Assumptions!$B$25</f>
        <v/>
      </c>
    </row>
    <row r="25">
      <c r="A25" s="14" t="n">
        <v>24</v>
      </c>
      <c r="B25" s="14" t="inlineStr">
        <is>
          <t>05 Jan - 11 Jan</t>
        </is>
      </c>
      <c r="C25" s="14" t="inlineStr">
        <is>
          <t>P6</t>
        </is>
      </c>
      <c r="D25" s="15" t="n">
        <v>600</v>
      </c>
      <c r="E25" s="15" t="n">
        <v>220</v>
      </c>
      <c r="F25" s="16" t="n">
        <v>0.14</v>
      </c>
      <c r="G25" s="14">
        <f>IF(F25=0,0,ROUND(D25/(Assumptions!$B$12*F25),0))</f>
        <v/>
      </c>
      <c r="H25" s="17" t="n">
        <v>450</v>
      </c>
      <c r="I25" s="18">
        <f>ROUND(D25*Assumptions!$B$15*H25,0)</f>
        <v/>
      </c>
      <c r="J25" s="19" t="n">
        <v>16000</v>
      </c>
      <c r="K25" s="18">
        <f>D25*Assumptions!$B$8</f>
        <v/>
      </c>
      <c r="L25" s="18">
        <f>E25*Assumptions!$B$9</f>
        <v/>
      </c>
      <c r="M25" s="18">
        <f>K25+L25</f>
        <v/>
      </c>
      <c r="N25" s="18">
        <f>N24+M25</f>
        <v/>
      </c>
      <c r="O25" s="20">
        <f>N25/Assumptions!$B$25</f>
        <v/>
      </c>
    </row>
    <row r="26">
      <c r="A26" s="14" t="n">
        <v>25</v>
      </c>
      <c r="B26" s="14" t="inlineStr">
        <is>
          <t>12 Jan - 18 Jan</t>
        </is>
      </c>
      <c r="C26" s="14" t="inlineStr">
        <is>
          <t>P6</t>
        </is>
      </c>
      <c r="D26" s="15" t="n">
        <v>640</v>
      </c>
      <c r="E26" s="15" t="n">
        <v>220</v>
      </c>
      <c r="F26" s="16" t="n">
        <v>0.14</v>
      </c>
      <c r="G26" s="14">
        <f>IF(F26=0,0,ROUND(D26/(Assumptions!$B$12*F26),0))</f>
        <v/>
      </c>
      <c r="H26" s="17" t="n">
        <v>450</v>
      </c>
      <c r="I26" s="18">
        <f>ROUND(D26*Assumptions!$B$15*H26,0)</f>
        <v/>
      </c>
      <c r="J26" s="19" t="n">
        <v>16000</v>
      </c>
      <c r="K26" s="18">
        <f>D26*Assumptions!$B$8</f>
        <v/>
      </c>
      <c r="L26" s="18">
        <f>E26*Assumptions!$B$9</f>
        <v/>
      </c>
      <c r="M26" s="18">
        <f>K26+L26</f>
        <v/>
      </c>
      <c r="N26" s="18">
        <f>N25+M26</f>
        <v/>
      </c>
      <c r="O26" s="20">
        <f>N26/Assumptions!$B$25</f>
        <v/>
      </c>
    </row>
    <row r="27">
      <c r="A27" s="14" t="n">
        <v>26</v>
      </c>
      <c r="B27" s="14" t="inlineStr">
        <is>
          <t>19 Jan - 25 Jan</t>
        </is>
      </c>
      <c r="C27" s="14" t="inlineStr">
        <is>
          <t>P6</t>
        </is>
      </c>
      <c r="D27" s="15" t="n">
        <v>680</v>
      </c>
      <c r="E27" s="15" t="n">
        <v>240</v>
      </c>
      <c r="F27" s="16" t="n">
        <v>0.14</v>
      </c>
      <c r="G27" s="14">
        <f>IF(F27=0,0,ROUND(D27/(Assumptions!$B$12*F27),0))</f>
        <v/>
      </c>
      <c r="H27" s="17" t="n">
        <v>450</v>
      </c>
      <c r="I27" s="18">
        <f>ROUND(D27*Assumptions!$B$15*H27,0)</f>
        <v/>
      </c>
      <c r="J27" s="19" t="n">
        <v>18000</v>
      </c>
      <c r="K27" s="18">
        <f>D27*Assumptions!$B$8</f>
        <v/>
      </c>
      <c r="L27" s="18">
        <f>E27*Assumptions!$B$9</f>
        <v/>
      </c>
      <c r="M27" s="18">
        <f>K27+L27</f>
        <v/>
      </c>
      <c r="N27" s="18">
        <f>N26+M27</f>
        <v/>
      </c>
      <c r="O27" s="20">
        <f>N27/Assumptions!$B$25</f>
        <v/>
      </c>
    </row>
    <row r="28">
      <c r="C28" s="11" t="inlineStr">
        <is>
          <t>TOTAL</t>
        </is>
      </c>
      <c r="D28" s="21">
        <f>SUM(D2:D27)</f>
        <v/>
      </c>
      <c r="E28" s="21">
        <f>SUM(E2:E27)</f>
        <v/>
      </c>
      <c r="G28" s="21">
        <f>SUM(G2:G27)</f>
        <v/>
      </c>
      <c r="I28" s="22">
        <f>SUM(I2:I27)</f>
        <v/>
      </c>
      <c r="J28" s="22">
        <f>SUM(J2:J27)</f>
        <v/>
      </c>
      <c r="K28" s="22">
        <f>SUM(K2:K27)</f>
        <v/>
      </c>
      <c r="L28" s="22">
        <f>SUM(L2:L27)</f>
        <v/>
      </c>
      <c r="M28" s="22">
        <f>SUM(M2:M27)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2" customWidth="1" min="3" max="3"/>
  </cols>
  <sheetData>
    <row r="1">
      <c r="A1" s="23" t="inlineStr">
        <is>
          <t>26-Week Marketing Budget (Base scenario)</t>
        </is>
      </c>
    </row>
    <row r="3">
      <c r="A3" s="24" t="inlineStr">
        <is>
          <t>Line item</t>
        </is>
      </c>
      <c r="B3" s="24" t="inlineStr">
        <is>
          <t>Amount (Rs)</t>
        </is>
      </c>
      <c r="C3" s="24" t="inlineStr">
        <is>
          <t>Basis</t>
        </is>
      </c>
    </row>
    <row r="4">
      <c r="A4" s="14" t="inlineStr">
        <is>
          <t>Meta/Google ads (performance)</t>
        </is>
      </c>
      <c r="B4" s="18">
        <f>'Weekly Model'!I28</f>
        <v/>
      </c>
      <c r="C4" s="25" t="inlineStr">
        <is>
          <t>Sum of weekly ad spend (payers x paid-share x CAC)</t>
        </is>
      </c>
    </row>
    <row r="5">
      <c r="A5" s="14" t="inlineStr">
        <is>
          <t>Ground events &amp; society melas (26 wks)</t>
        </is>
      </c>
      <c r="B5" s="19" t="n">
        <v>78000</v>
      </c>
      <c r="C5" s="25" t="inlineStr">
        <is>
          <t>~35 events/booths x Rs1,500-4,000 avg (tables, standees, mela fees)</t>
        </is>
      </c>
    </row>
    <row r="6">
      <c r="A6" s="14" t="inlineStr">
        <is>
          <t>Micro-influencers (2 waves, ~15 creators)</t>
        </is>
      </c>
      <c r="B6" s="19" t="n">
        <v>60000</v>
      </c>
      <c r="C6" s="25" t="inlineStr">
        <is>
          <t>Rs2-5k per reel + free Annuals</t>
        </is>
      </c>
    </row>
    <row r="7">
      <c r="A7" s="14" t="inlineStr">
        <is>
          <t>Referral rewards &amp; contests</t>
        </is>
      </c>
      <c r="B7" s="19" t="n">
        <v>90000</v>
      </c>
      <c r="C7" s="25" t="inlineStr">
        <is>
          <t>1-mo extensions + 2 contests x Rs15k prizes + 3-cousins discounts</t>
        </is>
      </c>
    </row>
    <row r="8">
      <c r="A8" s="14" t="inlineStr">
        <is>
          <t>Content production (design tools, editing)</t>
        </is>
      </c>
      <c r="B8" s="19" t="n">
        <v>40000</v>
      </c>
      <c r="C8" s="25" t="inlineStr">
        <is>
          <t>Canva Pro, CapCut, occasional freelance editor</t>
        </is>
      </c>
    </row>
    <row r="9">
      <c r="A9" s="14" t="inlineStr">
        <is>
          <t>School/tuition BD (travel, printed one-pagers, demo kits)</t>
        </is>
      </c>
      <c r="B9" s="19" t="n">
        <v>50000</v>
      </c>
      <c r="C9" s="25" t="inlineStr">
        <is>
          <t>~80 field visits + workshop materials</t>
        </is>
      </c>
    </row>
    <row r="10">
      <c r="A10" s="14" t="inlineStr">
        <is>
          <t>Webinars &amp; tools (Zoom, WA Business API, CRM sheet tools)</t>
        </is>
      </c>
      <c r="B10" s="19" t="n">
        <v>30000</v>
      </c>
      <c r="C10" s="25" t="inlineStr">
        <is>
          <t>6 webinars + messaging tools</t>
        </is>
      </c>
    </row>
    <row r="11">
      <c r="A11" s="14" t="inlineStr">
        <is>
          <t>PR (press kit, wire, misc)</t>
        </is>
      </c>
      <c r="B11" s="19" t="n">
        <v>25000</v>
      </c>
      <c r="C11" s="25" t="inlineStr">
        <is>
          <t>DIY-first; no agency</t>
        </is>
      </c>
    </row>
    <row r="12">
      <c r="A12" s="14" t="inlineStr">
        <is>
          <t>Field interns (1 from Oct, 2 from Dec)</t>
        </is>
      </c>
      <c r="B12" s="19" t="n">
        <v>108000</v>
      </c>
      <c r="C12" s="25" t="inlineStr">
        <is>
          <t>Rs12k/month x intern-months (Oct-Jan)</t>
        </is>
      </c>
    </row>
    <row r="13">
      <c r="A13" s="14" t="inlineStr">
        <is>
          <t>Contingency (10%)</t>
        </is>
      </c>
      <c r="B13" s="18">
        <f>ROUND(SUM(B4:B12)*0.1,0)</f>
        <v/>
      </c>
      <c r="C13" s="25" t="inlineStr">
        <is>
          <t>Buffer</t>
        </is>
      </c>
    </row>
    <row r="14">
      <c r="A14" s="11" t="inlineStr">
        <is>
          <t>TOTAL BUDGET</t>
        </is>
      </c>
      <c r="B14" s="22">
        <f>SUM(B4:B13)</f>
        <v/>
      </c>
    </row>
    <row r="16">
      <c r="A16" s="4" t="inlineStr">
        <is>
          <t>Budget as % of revenue</t>
        </is>
      </c>
      <c r="B16" s="26">
        <f>B14/Assumptions!B24</f>
        <v/>
      </c>
      <c r="C16" s="27" t="inlineStr">
        <is>
          <t>Healthy D2C subscription range is 25-35% in year 1</t>
        </is>
      </c>
    </row>
    <row r="17">
      <c r="A17" s="4" t="inlineStr">
        <is>
          <t>Blended CAC (all payers, all spend)</t>
        </is>
      </c>
      <c r="B17" s="22">
        <f>B14/(Assumptions!B20+Assumptions!B21)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23" t="inlineStr">
        <is>
          <t>Three scenarios (multipliers on Base weekly targets)</t>
        </is>
      </c>
    </row>
    <row r="3">
      <c r="A3" s="28" t="inlineStr"/>
      <c r="B3" s="28" t="inlineStr">
        <is>
          <t>Lean (x0.6)</t>
        </is>
      </c>
      <c r="C3" s="28" t="inlineStr">
        <is>
          <t>Base (x1.0)</t>
        </is>
      </c>
      <c r="D3" s="28" t="inlineStr">
        <is>
          <t>Aggressive (x1.3)</t>
        </is>
      </c>
    </row>
    <row r="4">
      <c r="A4" s="11" t="inlineStr">
        <is>
          <t>Multiplier</t>
        </is>
      </c>
      <c r="B4" s="29" t="n">
        <v>0.6</v>
      </c>
      <c r="C4" s="29" t="n">
        <v>1</v>
      </c>
      <c r="D4" s="29" t="n">
        <v>1.3</v>
      </c>
    </row>
    <row r="5">
      <c r="A5" s="11" t="inlineStr">
        <is>
          <t>D2C payers</t>
        </is>
      </c>
      <c r="B5" s="30">
        <f>B4*Assumptions!$B$20</f>
        <v/>
      </c>
      <c r="C5" s="30">
        <f>C4*Assumptions!$B$20</f>
        <v/>
      </c>
      <c r="D5" s="30">
        <f>D4*Assumptions!$B$20</f>
        <v/>
      </c>
    </row>
    <row r="6">
      <c r="A6" s="11" t="inlineStr">
        <is>
          <t>B2B children</t>
        </is>
      </c>
      <c r="B6" s="30">
        <f>B4*Assumptions!$B$21</f>
        <v/>
      </c>
      <c r="C6" s="30">
        <f>C4*Assumptions!$B$21</f>
        <v/>
      </c>
      <c r="D6" s="30">
        <f>D4*Assumptions!$B$21</f>
        <v/>
      </c>
    </row>
    <row r="7">
      <c r="A7" s="11" t="inlineStr">
        <is>
          <t>Revenue</t>
        </is>
      </c>
      <c r="B7" s="18">
        <f>B5*Assumptions!$B$8+B6*Assumptions!$B$9</f>
        <v/>
      </c>
      <c r="C7" s="18">
        <f>C5*Assumptions!$B$8+C6*Assumptions!$B$9</f>
        <v/>
      </c>
      <c r="D7" s="18">
        <f>D5*Assumptions!$B$8+D6*Assumptions!$B$9</f>
        <v/>
      </c>
    </row>
    <row r="8">
      <c r="A8" s="11" t="inlineStr">
        <is>
          <t>vs Rs 1 Cr</t>
        </is>
      </c>
      <c r="B8" s="31">
        <f>B7/Assumptions!$B$25</f>
        <v/>
      </c>
      <c r="C8" s="31">
        <f>C7/Assumptions!$B$25</f>
        <v/>
      </c>
      <c r="D8" s="31">
        <f>D7/Assumptions!$B$25</f>
        <v/>
      </c>
    </row>
    <row r="10">
      <c r="A10" s="2" t="inlineStr">
        <is>
          <t>Read: even Lean lands ~Rs 63L - the plan degrades gracefully. Aggressive needs 2 extra field hires + Rs45L budget.</t>
        </is>
      </c>
    </row>
    <row r="12">
      <c r="A12" s="32" t="inlineStr">
        <is>
          <t>CONTINGENCY LEVERS - pull in W24 gap-analysis if cumulative &lt; 80% of target</t>
        </is>
      </c>
    </row>
    <row r="13" ht="26" customHeight="1">
      <c r="A13" s="33" t="inlineStr">
        <is>
          <t>1. B2B bulk deals: one 500-child school deal at Rs599/child = Rs3L in one contract. Aim: 2 such deals via the school workshop pipeline.</t>
        </is>
      </c>
    </row>
    <row r="14" ht="26" customHeight="1">
      <c r="A14" s="33" t="inlineStr">
        <is>
          <t>2. Price test: 3-month Rs599 plan for fence-sitters (protects Rs999 anchor; adds an entry rung before boards).</t>
        </is>
      </c>
    </row>
    <row r="15" ht="26" customHeight="1">
      <c r="A15" s="33" t="inlineStr">
        <is>
          <t>3. Referral double-down: double contest prize, add instant Rs100 UPI per paying referral (CAC still &lt; Rs450).</t>
        </is>
      </c>
    </row>
    <row r="16" ht="26" customHeight="1">
      <c r="A16" s="33" t="inlineStr">
        <is>
          <t>4. Geography: open Jaipur/Chandigarh/Lucknow via pure WhatsApp + partner playbook (no ground ops) - NCR playbook is remote-replicable.</t>
        </is>
      </c>
    </row>
    <row r="17" ht="26" customHeight="1">
      <c r="A17" s="33" t="inlineStr">
        <is>
          <t>5. Corporate: pitch 5 NCR companies' HR for 'employee kids audit' as a benefits perk (bulk Annual).</t>
        </is>
      </c>
    </row>
    <row r="18" ht="26" customHeight="1">
      <c r="A18" s="33" t="inlineStr">
        <is>
          <t>6. The Rs99 single-audit tier (tested W20): if trial-&gt;Core &gt;= 25%, make it the default ad CTA - drops effective CAC sharply.</t>
        </is>
      </c>
    </row>
  </sheetData>
  <mergeCells count="6">
    <mergeCell ref="A17:D17"/>
    <mergeCell ref="A18:D18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2026-07-28T02:46:08Z</dcterms:created>
  <dcterms:modified xsi:type="dcterms:W3CDTF">2026-07-28T02:46:08Z</dcterms:modified>
</cp:coreProperties>
</file>